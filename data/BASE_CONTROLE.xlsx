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s données de C\"/>
    </mc:Choice>
  </mc:AlternateContent>
  <xr:revisionPtr revIDLastSave="0" documentId="13_ncr:1_{7BD4EADA-98E5-4E56-AC2B-576162899E3D}" xr6:coauthVersionLast="47" xr6:coauthVersionMax="47" xr10:uidLastSave="{00000000-0000-0000-0000-000000000000}"/>
  <bookViews>
    <workbookView xWindow="-98" yWindow="-98" windowWidth="19396" windowHeight="10276" xr2:uid="{F58FD36D-0D98-404D-8488-C2A201C7CAFA}"/>
  </bookViews>
  <sheets>
    <sheet name="Feuil1" sheetId="1" r:id="rId1"/>
  </sheets>
  <definedNames>
    <definedName name="_xlnm._FilterDatabase" localSheetId="0" hidden="1">Feuil1!$A$1:$D$1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2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<sst xmlns="http://schemas.openxmlformats.org/spreadsheetml/2006/main" count="300" uniqueCount="205">
  <si>
    <t>codgeo</t>
  </si>
  <si>
    <t>libgeo</t>
  </si>
  <si>
    <t>an</t>
  </si>
  <si>
    <t>med_disp</t>
  </si>
  <si>
    <t>01</t>
  </si>
  <si>
    <t>Ain</t>
  </si>
  <si>
    <t>2021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</si>
  <si>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</si>
  <si>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</si>
  <si>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</si>
  <si>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</si>
  <si>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</si>
  <si>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</si>
  <si>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</si>
  <si>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</si>
  <si>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</si>
  <si>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</si>
  <si>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</si>
  <si>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</si>
  <si>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</si>
  <si>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</si>
  <si>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</si>
  <si>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</si>
  <si>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</si>
  <si>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</si>
  <si>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</si>
  <si>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</si>
  <si>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</si>
  <si>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</si>
  <si>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</si>
  <si>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</si>
  <si>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</si>
  <si>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</si>
  <si>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</si>
  <si>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</si>
  <si>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</si>
  <si>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</si>
  <si>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</si>
  <si>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</si>
  <si>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</si>
  <si>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</si>
  <si>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</si>
  <si>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</si>
  <si>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</si>
  <si>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</si>
  <si>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</si>
  <si>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</si>
  <si>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</si>
  <si>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</si>
  <si>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</si>
  <si>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</si>
  <si>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</si>
  <si>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</si>
  <si>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</si>
  <si>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</si>
  <si>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</si>
  <si>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</si>
  <si>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</si>
  <si>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</si>
  <si>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</si>
  <si>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</si>
  <si>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2A</t>
  </si>
  <si>
    <t>Corse-du-Sud</t>
  </si>
  <si>
    <t>2B</t>
  </si>
  <si>
    <t>Haute-Corse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</si>
  <si>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</si>
  <si>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</si>
  <si>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</si>
  <si>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</si>
  <si>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</si>
  <si>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</si>
  <si>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</si>
  <si>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</si>
  <si>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</si>
  <si>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</si>
  <si>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</si>
  <si>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</si>
  <si>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</si>
  <si>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</si>
  <si>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</si>
  <si>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</si>
  <si>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</si>
  <si>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</si>
  <si>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</si>
  <si>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</si>
  <si>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</si>
  <si>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</si>
  <si>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</si>
  <si>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</si>
  <si>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</si>
  <si>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</si>
  <si>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</si>
  <si>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</si>
  <si>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</si>
  <si>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</si>
  <si>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</si>
  <si>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</si>
  <si>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</si>
  <si>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</si>
  <si>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</si>
  <si>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</si>
  <si>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</si>
  <si>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</si>
  <si>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</si>
  <si>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</si>
  <si>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</si>
  <si>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</si>
  <si>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</si>
  <si>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</si>
  <si>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</si>
  <si>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</si>
  <si>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</si>
  <si>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</si>
  <si>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</si>
  <si>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</si>
  <si>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</si>
  <si>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</si>
  <si>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</si>
  <si>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</si>
  <si>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</si>
  <si>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</si>
  <si>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</si>
  <si>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</si>
  <si>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</si>
  <si>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</si>
  <si>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</si>
  <si>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</si>
  <si>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</si>
  <si>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</si>
  <si>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</si>
  <si>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</si>
  <si>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</si>
  <si>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</si>
  <si>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</si>
  <si>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</si>
  <si>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</si>
  <si>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</si>
  <si>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</si>
  <si>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</si>
  <si>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</si>
  <si>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</si>
  <si>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</si>
  <si>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</si>
  <si>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</si>
  <si>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</si>
  <si>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</si>
  <si>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</si>
  <si>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</si>
  <si>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</si>
  <si>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</si>
  <si>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</si>
  <si>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</si>
  <si>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</si>
  <si>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</si>
  <si>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</si>
  <si>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</si>
  <si>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</si>
  <si>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</si>
  <si>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</si>
  <si>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</si>
  <si>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</si>
  <si>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</si>
  <si>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</si>
  <si>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</si>
  <si>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</si>
  <si>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</si>
  <si>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</si>
  <si>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</si>
  <si>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</si>
  <si>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</si>
  <si>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</si>
  <si>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</si>
  <si>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</si>
  <si>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</si>
  <si>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</si>
  <si>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</si>
  <si>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</si>
  <si>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</si>
  <si>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</si>
  <si>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</si>
  <si>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</si>
  <si>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</si>
  <si>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</si>
  <si>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</si>
  <si>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</si>
  <si>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</si>
  <si>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</si>
  <si>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</si>
  <si>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</si>
  <si>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</si>
  <si>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</si>
  <si>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</si>
  <si>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</si>
  <si>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</si>
  <si>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</si>
  <si>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</si>
  <si>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</si>
  <si>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superf</t>
  </si>
  <si>
    <t>p23_pop</t>
  </si>
  <si>
    <t>densite</t>
  </si>
  <si>
    <t>T1_2023</t>
  </si>
  <si>
    <t>T2_2023</t>
  </si>
  <si>
    <t>T3_2023</t>
  </si>
  <si>
    <t>T4_2023</t>
  </si>
  <si>
    <t>t_cho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</si>
</sst>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AF03-E27B-4776-A136-1CB2EB6895F2}">
  <dimension ref="A1:L97"/>
  <sheetViews>
    <sheetView tabSelected="1" topLeftCell="A38" workbookViewId="0">
      <selection activeCell="J42" sqref="J42"/>
    </sheetView>
  </sheetViews>
  <sheetFormatPr baseColWidth="10" defaultRowHeight="14.25" x14ac:dyDescent="0.45"/>
  <cols>
    <col min="5" max="6" width="20.73046875" customWidth="1"/>
    <col min="7" max="7" width="9.06640625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197</v>
      </c>
      <c r="F1" t="s">
        <v>198</v>
      </c>
      <c r="G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</row>
    <row r="2" spans="1:12" x14ac:dyDescent="0.45">
      <c r="A2" t="s">
        <v>4</v>
      </c>
      <c r="B2" t="s">
        <v>5</v>
      </c>
      <c r="C2" t="s">
        <v>6</v>
      </c>
      <c r="D2">
        <v>24810</v>
      </c>
      <c r="E2">
        <v>5762.39</v>
      </c>
      <c r="F2">
        <v>679344</v>
      </c>
      <c r="G2">
        <f>F2/E2</f>
        <v>117.89274936267763</v>
      </c>
      <c r="H2" s="2">
        <v>5.2</v>
      </c>
      <c r="I2" s="2">
        <v>5.4</v>
      </c>
      <c r="J2" s="2">
        <v>5.6</v>
      </c>
      <c r="K2" s="2">
        <v>5.7</v>
      </c>
      <c r="L2">
        <f>(H2+I2+J2+K2)/4</f>
        <v>5.4750000000000005</v>
      </c>
    </row>
    <row r="3" spans="1:12" x14ac:dyDescent="0.45">
      <c r="A3" t="s">
        <v>7</v>
      </c>
      <c r="B3" t="s">
        <v>8</v>
      </c>
      <c r="C3" t="s">
        <v>6</v>
      </c>
      <c r="D3">
        <v>20920</v>
      </c>
      <c r="E3">
        <v>7369.12</v>
      </c>
      <c r="F3">
        <v>523342</v>
      </c>
      <c r="G3">
        <f t="shared" ref="G3:G66" si="0">F3/E3</f>
        <v>71.018249126082893</v>
      </c>
      <c r="H3" s="2">
        <v>10.3</v>
      </c>
      <c r="I3" s="2">
        <v>10.3</v>
      </c>
      <c r="J3" s="2">
        <v>10.5</v>
      </c>
      <c r="K3" s="2">
        <v>10.7</v>
      </c>
      <c r="L3">
        <f t="shared" ref="L3:L66" si="1">(H3+I3+J3+K3)/4</f>
        <v>10.45</v>
      </c>
    </row>
    <row r="4" spans="1:12" x14ac:dyDescent="0.45">
      <c r="A4" t="s">
        <v>9</v>
      </c>
      <c r="B4" t="s">
        <v>10</v>
      </c>
      <c r="C4" t="s">
        <v>6</v>
      </c>
      <c r="D4">
        <v>21500</v>
      </c>
      <c r="E4">
        <v>7340.11</v>
      </c>
      <c r="F4">
        <v>333298</v>
      </c>
      <c r="G4">
        <f t="shared" si="0"/>
        <v>45.407766368623903</v>
      </c>
      <c r="H4" s="2">
        <v>7.5</v>
      </c>
      <c r="I4" s="2">
        <v>7.6</v>
      </c>
      <c r="J4" s="2">
        <v>7.8</v>
      </c>
      <c r="K4" s="2">
        <v>7.9</v>
      </c>
      <c r="L4">
        <f t="shared" si="1"/>
        <v>7.6999999999999993</v>
      </c>
    </row>
    <row r="5" spans="1:12" x14ac:dyDescent="0.45">
      <c r="A5" t="s">
        <v>11</v>
      </c>
      <c r="B5" t="s">
        <v>12</v>
      </c>
      <c r="C5" t="s">
        <v>6</v>
      </c>
      <c r="D5">
        <v>21790</v>
      </c>
      <c r="E5">
        <v>6925.22</v>
      </c>
      <c r="F5">
        <v>168054</v>
      </c>
      <c r="G5">
        <f t="shared" si="0"/>
        <v>24.266954696024097</v>
      </c>
      <c r="H5" s="2">
        <v>8</v>
      </c>
      <c r="I5" s="2">
        <v>8</v>
      </c>
      <c r="J5" s="2">
        <v>8.3000000000000007</v>
      </c>
      <c r="K5" s="2">
        <v>8.1999999999999993</v>
      </c>
      <c r="L5">
        <f t="shared" si="1"/>
        <v>8.125</v>
      </c>
    </row>
    <row r="6" spans="1:12" x14ac:dyDescent="0.45">
      <c r="A6" t="s">
        <v>13</v>
      </c>
      <c r="B6" t="s">
        <v>14</v>
      </c>
      <c r="C6" t="s">
        <v>6</v>
      </c>
      <c r="D6">
        <v>22010</v>
      </c>
      <c r="E6">
        <v>5548.68</v>
      </c>
      <c r="F6">
        <v>143467</v>
      </c>
      <c r="G6">
        <f t="shared" si="0"/>
        <v>25.856059459186689</v>
      </c>
      <c r="H6" s="2">
        <v>6.5</v>
      </c>
      <c r="I6" s="2">
        <v>6.5</v>
      </c>
      <c r="J6" s="2">
        <v>6.6</v>
      </c>
      <c r="K6" s="2">
        <v>6.6</v>
      </c>
      <c r="L6">
        <f t="shared" si="1"/>
        <v>6.5500000000000007</v>
      </c>
    </row>
    <row r="7" spans="1:12" x14ac:dyDescent="0.45">
      <c r="A7" t="s">
        <v>15</v>
      </c>
      <c r="B7" t="s">
        <v>16</v>
      </c>
      <c r="C7" t="s">
        <v>6</v>
      </c>
      <c r="D7">
        <v>23460</v>
      </c>
      <c r="E7">
        <v>4298.58</v>
      </c>
      <c r="F7">
        <v>1128418</v>
      </c>
      <c r="G7">
        <f t="shared" si="0"/>
        <v>262.50947987474933</v>
      </c>
      <c r="H7" s="2">
        <v>7</v>
      </c>
      <c r="I7" s="2">
        <v>7</v>
      </c>
      <c r="J7" s="2">
        <v>7.2</v>
      </c>
      <c r="K7" s="2">
        <v>7.2</v>
      </c>
      <c r="L7">
        <f t="shared" si="1"/>
        <v>7.1</v>
      </c>
    </row>
    <row r="8" spans="1:12" x14ac:dyDescent="0.45">
      <c r="A8" t="s">
        <v>17</v>
      </c>
      <c r="B8" t="s">
        <v>18</v>
      </c>
      <c r="C8" t="s">
        <v>6</v>
      </c>
      <c r="D8">
        <v>21990</v>
      </c>
      <c r="E8">
        <v>5528.64</v>
      </c>
      <c r="F8">
        <v>334231</v>
      </c>
      <c r="G8">
        <f t="shared" si="0"/>
        <v>60.454469815361456</v>
      </c>
      <c r="H8" s="2">
        <v>7.8</v>
      </c>
      <c r="I8" s="2">
        <v>7.8</v>
      </c>
      <c r="J8" s="2">
        <v>8.1</v>
      </c>
      <c r="K8" s="2">
        <v>8.1</v>
      </c>
      <c r="L8">
        <f t="shared" si="1"/>
        <v>7.9499999999999993</v>
      </c>
    </row>
    <row r="9" spans="1:12" x14ac:dyDescent="0.45">
      <c r="A9" t="s">
        <v>19</v>
      </c>
      <c r="B9" t="s">
        <v>20</v>
      </c>
      <c r="C9" t="s">
        <v>6</v>
      </c>
      <c r="D9">
        <v>20850</v>
      </c>
      <c r="E9">
        <v>5229.41</v>
      </c>
      <c r="F9">
        <v>265893</v>
      </c>
      <c r="G9">
        <f t="shared" si="0"/>
        <v>50.845697698210699</v>
      </c>
      <c r="H9" s="2">
        <v>9.3000000000000007</v>
      </c>
      <c r="I9" s="2">
        <v>9.5</v>
      </c>
      <c r="J9" s="2">
        <v>9.8000000000000007</v>
      </c>
      <c r="K9" s="2">
        <v>9.9</v>
      </c>
      <c r="L9">
        <f t="shared" si="1"/>
        <v>9.625</v>
      </c>
    </row>
    <row r="10" spans="1:12" x14ac:dyDescent="0.45">
      <c r="A10" t="s">
        <v>21</v>
      </c>
      <c r="B10" t="s">
        <v>22</v>
      </c>
      <c r="C10" t="s">
        <v>6</v>
      </c>
      <c r="D10">
        <v>20820</v>
      </c>
      <c r="E10">
        <v>4889.92</v>
      </c>
      <c r="F10">
        <v>155722</v>
      </c>
      <c r="G10">
        <f t="shared" si="0"/>
        <v>31.845510765002292</v>
      </c>
      <c r="H10" s="2">
        <v>9.1999999999999993</v>
      </c>
      <c r="I10" s="2">
        <v>9.3000000000000007</v>
      </c>
      <c r="J10" s="2">
        <v>9.5</v>
      </c>
      <c r="K10" s="2">
        <v>9.6</v>
      </c>
      <c r="L10">
        <f t="shared" si="1"/>
        <v>9.4</v>
      </c>
    </row>
    <row r="11" spans="1:12" x14ac:dyDescent="0.45">
      <c r="A11" t="s">
        <v>23</v>
      </c>
      <c r="B11" t="s">
        <v>24</v>
      </c>
      <c r="C11" t="s">
        <v>6</v>
      </c>
      <c r="D11">
        <v>21530</v>
      </c>
      <c r="E11">
        <v>6004.16</v>
      </c>
      <c r="F11">
        <v>310447</v>
      </c>
      <c r="G11">
        <f t="shared" si="0"/>
        <v>51.705317646431808</v>
      </c>
      <c r="H11" s="2">
        <v>9.3000000000000007</v>
      </c>
      <c r="I11" s="2">
        <v>9.4</v>
      </c>
      <c r="J11" s="2">
        <v>9.6</v>
      </c>
      <c r="K11" s="2">
        <v>9.6999999999999993</v>
      </c>
      <c r="L11">
        <f t="shared" si="1"/>
        <v>9.5</v>
      </c>
    </row>
    <row r="12" spans="1:12" x14ac:dyDescent="0.45">
      <c r="A12" t="s">
        <v>25</v>
      </c>
      <c r="B12" t="s">
        <v>26</v>
      </c>
      <c r="C12" t="s">
        <v>6</v>
      </c>
      <c r="D12">
        <v>20510</v>
      </c>
      <c r="E12">
        <v>6138.98</v>
      </c>
      <c r="F12">
        <v>379648</v>
      </c>
      <c r="G12">
        <f t="shared" si="0"/>
        <v>61.842195283255528</v>
      </c>
      <c r="H12" s="2">
        <v>9.9</v>
      </c>
      <c r="I12" s="2">
        <v>10</v>
      </c>
      <c r="J12" s="2">
        <v>10.3</v>
      </c>
      <c r="K12" s="2">
        <v>10.5</v>
      </c>
      <c r="L12">
        <f t="shared" si="1"/>
        <v>10.175000000000001</v>
      </c>
    </row>
    <row r="13" spans="1:12" x14ac:dyDescent="0.45">
      <c r="A13" t="s">
        <v>27</v>
      </c>
      <c r="B13" t="s">
        <v>28</v>
      </c>
      <c r="C13" t="s">
        <v>6</v>
      </c>
      <c r="D13">
        <v>21860</v>
      </c>
      <c r="E13">
        <v>8735.1200000000008</v>
      </c>
      <c r="F13">
        <v>279609</v>
      </c>
      <c r="G13">
        <f t="shared" si="0"/>
        <v>32.009749150555457</v>
      </c>
      <c r="H13" s="2">
        <v>5.6</v>
      </c>
      <c r="I13" s="2">
        <v>5.7</v>
      </c>
      <c r="J13" s="2">
        <v>5.8</v>
      </c>
      <c r="K13" s="2">
        <v>5.8</v>
      </c>
      <c r="L13">
        <f t="shared" si="1"/>
        <v>5.7250000000000005</v>
      </c>
    </row>
    <row r="14" spans="1:12" x14ac:dyDescent="0.45">
      <c r="A14" t="s">
        <v>29</v>
      </c>
      <c r="B14" t="s">
        <v>30</v>
      </c>
      <c r="C14" t="s">
        <v>6</v>
      </c>
      <c r="D14">
        <v>22920</v>
      </c>
      <c r="E14">
        <v>5087.49</v>
      </c>
      <c r="F14">
        <v>2087658</v>
      </c>
      <c r="G14">
        <f t="shared" si="0"/>
        <v>410.35127341773648</v>
      </c>
      <c r="H14" s="2">
        <v>8.5</v>
      </c>
      <c r="I14" s="2">
        <v>8.5</v>
      </c>
      <c r="J14" s="2">
        <v>8.6999999999999993</v>
      </c>
      <c r="K14" s="2">
        <v>8.8000000000000007</v>
      </c>
      <c r="L14">
        <f t="shared" si="1"/>
        <v>8.625</v>
      </c>
    </row>
    <row r="15" spans="1:12" x14ac:dyDescent="0.45">
      <c r="A15" t="s">
        <v>31</v>
      </c>
      <c r="B15" t="s">
        <v>32</v>
      </c>
      <c r="C15" t="s">
        <v>6</v>
      </c>
      <c r="D15">
        <v>22840</v>
      </c>
      <c r="E15">
        <v>5539.18</v>
      </c>
      <c r="F15">
        <v>709441</v>
      </c>
      <c r="G15">
        <f t="shared" si="0"/>
        <v>128.07689946887444</v>
      </c>
      <c r="H15" s="2">
        <v>6.2</v>
      </c>
      <c r="I15" s="2">
        <v>6.3</v>
      </c>
      <c r="J15" s="2">
        <v>6.5</v>
      </c>
      <c r="K15" s="2">
        <v>6.6</v>
      </c>
      <c r="L15">
        <f t="shared" si="1"/>
        <v>6.4</v>
      </c>
    </row>
    <row r="16" spans="1:12" x14ac:dyDescent="0.45">
      <c r="A16" t="s">
        <v>33</v>
      </c>
      <c r="B16" t="s">
        <v>34</v>
      </c>
      <c r="C16" t="s">
        <v>6</v>
      </c>
      <c r="D16">
        <v>21710</v>
      </c>
      <c r="E16">
        <v>5725.98</v>
      </c>
      <c r="F16">
        <v>144196</v>
      </c>
      <c r="G16">
        <f t="shared" si="0"/>
        <v>25.182763474549336</v>
      </c>
      <c r="H16" s="2">
        <v>4</v>
      </c>
      <c r="I16" s="2">
        <v>4.0999999999999996</v>
      </c>
      <c r="J16" s="2">
        <v>4.3</v>
      </c>
      <c r="K16" s="2">
        <v>4.3</v>
      </c>
      <c r="L16">
        <f t="shared" si="1"/>
        <v>4.1749999999999998</v>
      </c>
    </row>
    <row r="17" spans="1:12" x14ac:dyDescent="0.45">
      <c r="A17" t="s">
        <v>35</v>
      </c>
      <c r="B17" t="s">
        <v>36</v>
      </c>
      <c r="C17" t="s">
        <v>6</v>
      </c>
      <c r="D17">
        <v>22000</v>
      </c>
      <c r="E17">
        <v>5955.99</v>
      </c>
      <c r="F17">
        <v>352683</v>
      </c>
      <c r="G17">
        <f t="shared" si="0"/>
        <v>59.214840857691165</v>
      </c>
      <c r="H17" s="2">
        <v>6.6</v>
      </c>
      <c r="I17" s="2">
        <v>6.7</v>
      </c>
      <c r="J17" s="2">
        <v>7</v>
      </c>
      <c r="K17" s="2">
        <v>7.2</v>
      </c>
      <c r="L17">
        <f t="shared" si="1"/>
        <v>6.875</v>
      </c>
    </row>
    <row r="18" spans="1:12" x14ac:dyDescent="0.45">
      <c r="A18" t="s">
        <v>37</v>
      </c>
      <c r="B18" t="s">
        <v>38</v>
      </c>
      <c r="C18" t="s">
        <v>6</v>
      </c>
      <c r="D18">
        <v>22810</v>
      </c>
      <c r="E18">
        <v>6863.75</v>
      </c>
      <c r="F18">
        <v>672279</v>
      </c>
      <c r="G18">
        <f t="shared" si="0"/>
        <v>97.946312147149882</v>
      </c>
      <c r="H18" s="2">
        <v>6.6</v>
      </c>
      <c r="I18" s="2">
        <v>6.6</v>
      </c>
      <c r="J18" s="2">
        <v>6.8</v>
      </c>
      <c r="K18" s="2">
        <v>7</v>
      </c>
      <c r="L18">
        <f t="shared" si="1"/>
        <v>6.75</v>
      </c>
    </row>
    <row r="19" spans="1:12" x14ac:dyDescent="0.45">
      <c r="A19" t="s">
        <v>39</v>
      </c>
      <c r="B19" t="s">
        <v>40</v>
      </c>
      <c r="C19" t="s">
        <v>6</v>
      </c>
      <c r="D19">
        <v>22100</v>
      </c>
      <c r="E19">
        <v>7234.99</v>
      </c>
      <c r="F19">
        <v>298660</v>
      </c>
      <c r="G19">
        <f t="shared" si="0"/>
        <v>41.279946482303366</v>
      </c>
      <c r="H19" s="2">
        <v>7.2</v>
      </c>
      <c r="I19" s="2">
        <v>7.2</v>
      </c>
      <c r="J19" s="2">
        <v>7.3</v>
      </c>
      <c r="K19" s="2">
        <v>7.3</v>
      </c>
      <c r="L19">
        <f t="shared" si="1"/>
        <v>7.25</v>
      </c>
    </row>
    <row r="20" spans="1:12" x14ac:dyDescent="0.45">
      <c r="A20" t="s">
        <v>41</v>
      </c>
      <c r="B20" t="s">
        <v>42</v>
      </c>
      <c r="C20" t="s">
        <v>6</v>
      </c>
      <c r="D20">
        <v>22140</v>
      </c>
      <c r="E20">
        <v>5856.83</v>
      </c>
      <c r="F20">
        <v>240826</v>
      </c>
      <c r="G20">
        <f t="shared" si="0"/>
        <v>41.118830493628806</v>
      </c>
      <c r="H20" s="2">
        <v>5.8</v>
      </c>
      <c r="I20" s="2">
        <v>5.9</v>
      </c>
      <c r="J20" s="2">
        <v>6</v>
      </c>
      <c r="K20" s="2">
        <v>6.1</v>
      </c>
      <c r="L20">
        <f t="shared" si="1"/>
        <v>5.9499999999999993</v>
      </c>
    </row>
    <row r="21" spans="1:12" x14ac:dyDescent="0.45">
      <c r="A21" t="s">
        <v>43</v>
      </c>
      <c r="B21" t="s">
        <v>44</v>
      </c>
      <c r="C21" t="s">
        <v>6</v>
      </c>
      <c r="D21">
        <v>23720</v>
      </c>
      <c r="E21">
        <v>8763.2099999999991</v>
      </c>
      <c r="F21">
        <v>540100</v>
      </c>
      <c r="G21">
        <f t="shared" si="0"/>
        <v>61.632666568529118</v>
      </c>
      <c r="H21" s="2">
        <v>5.5</v>
      </c>
      <c r="I21" s="2">
        <v>5.6</v>
      </c>
      <c r="J21" s="2">
        <v>5.7</v>
      </c>
      <c r="K21" s="2">
        <v>5.8</v>
      </c>
      <c r="L21">
        <f t="shared" si="1"/>
        <v>5.65</v>
      </c>
    </row>
    <row r="22" spans="1:12" x14ac:dyDescent="0.45">
      <c r="A22" t="s">
        <v>45</v>
      </c>
      <c r="B22" t="s">
        <v>46</v>
      </c>
      <c r="C22" t="s">
        <v>6</v>
      </c>
      <c r="D22">
        <v>22670</v>
      </c>
      <c r="E22">
        <v>6877.55</v>
      </c>
      <c r="F22">
        <v>611859</v>
      </c>
      <c r="G22">
        <f t="shared" si="0"/>
        <v>88.964674920574907</v>
      </c>
      <c r="H22" s="2">
        <v>6.1</v>
      </c>
      <c r="I22" s="2">
        <v>6.2</v>
      </c>
      <c r="J22" s="2">
        <v>6.4</v>
      </c>
      <c r="K22" s="2">
        <v>6.4</v>
      </c>
      <c r="L22">
        <f t="shared" si="1"/>
        <v>6.2750000000000004</v>
      </c>
    </row>
    <row r="23" spans="1:12" x14ac:dyDescent="0.45">
      <c r="A23" t="s">
        <v>47</v>
      </c>
      <c r="B23" t="s">
        <v>48</v>
      </c>
      <c r="C23" t="s">
        <v>6</v>
      </c>
      <c r="D23">
        <v>20620</v>
      </c>
      <c r="E23">
        <v>5565.38</v>
      </c>
      <c r="F23">
        <v>115527</v>
      </c>
      <c r="G23">
        <f t="shared" si="0"/>
        <v>20.758151285267132</v>
      </c>
      <c r="H23" s="2">
        <v>6.8</v>
      </c>
      <c r="I23" s="2">
        <v>6.9</v>
      </c>
      <c r="J23" s="2">
        <v>7.1</v>
      </c>
      <c r="K23" s="2">
        <v>7.3</v>
      </c>
      <c r="L23">
        <f t="shared" si="1"/>
        <v>7.0249999999999995</v>
      </c>
    </row>
    <row r="24" spans="1:12" x14ac:dyDescent="0.45">
      <c r="A24" t="s">
        <v>49</v>
      </c>
      <c r="B24" t="s">
        <v>50</v>
      </c>
      <c r="C24" t="s">
        <v>6</v>
      </c>
      <c r="D24">
        <v>21410</v>
      </c>
      <c r="E24">
        <v>9060.01</v>
      </c>
      <c r="F24">
        <v>417614</v>
      </c>
      <c r="G24">
        <f t="shared" si="0"/>
        <v>46.094209609040163</v>
      </c>
      <c r="H24" s="2">
        <v>7</v>
      </c>
      <c r="I24" s="2">
        <v>7</v>
      </c>
      <c r="J24" s="2">
        <v>7.2</v>
      </c>
      <c r="K24" s="2">
        <v>7.3</v>
      </c>
      <c r="L24">
        <f t="shared" si="1"/>
        <v>7.125</v>
      </c>
    </row>
    <row r="25" spans="1:12" x14ac:dyDescent="0.45">
      <c r="A25" t="s">
        <v>51</v>
      </c>
      <c r="B25" t="s">
        <v>52</v>
      </c>
      <c r="C25" t="s">
        <v>6</v>
      </c>
      <c r="D25">
        <v>23890</v>
      </c>
      <c r="E25">
        <v>5233.6400000000003</v>
      </c>
      <c r="F25">
        <v>547163</v>
      </c>
      <c r="G25">
        <f t="shared" si="0"/>
        <v>104.54731315107649</v>
      </c>
      <c r="H25" s="2">
        <v>6.3</v>
      </c>
      <c r="I25" s="2">
        <v>6.4</v>
      </c>
      <c r="J25" s="2">
        <v>6.7</v>
      </c>
      <c r="K25" s="2">
        <v>6.7</v>
      </c>
      <c r="L25">
        <f t="shared" si="1"/>
        <v>6.5249999999999995</v>
      </c>
    </row>
    <row r="26" spans="1:12" x14ac:dyDescent="0.45">
      <c r="A26" t="s">
        <v>53</v>
      </c>
      <c r="B26" t="s">
        <v>54</v>
      </c>
      <c r="C26" t="s">
        <v>6</v>
      </c>
      <c r="D26">
        <v>22450</v>
      </c>
      <c r="E26">
        <v>6529.95</v>
      </c>
      <c r="F26">
        <v>524207</v>
      </c>
      <c r="G26">
        <f t="shared" si="0"/>
        <v>80.277337498755742</v>
      </c>
      <c r="H26" s="2">
        <v>7.7</v>
      </c>
      <c r="I26" s="2">
        <v>7.8</v>
      </c>
      <c r="J26" s="2">
        <v>8</v>
      </c>
      <c r="K26" s="2">
        <v>8.1999999999999993</v>
      </c>
      <c r="L26">
        <f t="shared" si="1"/>
        <v>7.9249999999999998</v>
      </c>
    </row>
    <row r="27" spans="1:12" x14ac:dyDescent="0.45">
      <c r="A27" t="s">
        <v>55</v>
      </c>
      <c r="B27" t="s">
        <v>56</v>
      </c>
      <c r="C27" t="s">
        <v>6</v>
      </c>
      <c r="D27">
        <v>22880</v>
      </c>
      <c r="E27">
        <v>6039.85</v>
      </c>
      <c r="F27">
        <v>602714</v>
      </c>
      <c r="G27">
        <f t="shared" si="0"/>
        <v>99.789564310371944</v>
      </c>
      <c r="H27" s="2">
        <v>6.7</v>
      </c>
      <c r="I27" s="2">
        <v>6.9</v>
      </c>
      <c r="J27" s="2">
        <v>7</v>
      </c>
      <c r="K27" s="2">
        <v>7.2</v>
      </c>
      <c r="L27">
        <f t="shared" si="1"/>
        <v>6.95</v>
      </c>
    </row>
    <row r="28" spans="1:12" x14ac:dyDescent="0.45">
      <c r="A28" t="s">
        <v>57</v>
      </c>
      <c r="B28" t="s">
        <v>58</v>
      </c>
      <c r="C28" t="s">
        <v>6</v>
      </c>
      <c r="D28">
        <v>23360</v>
      </c>
      <c r="E28">
        <v>5879.95</v>
      </c>
      <c r="F28">
        <v>433129</v>
      </c>
      <c r="G28">
        <f t="shared" si="0"/>
        <v>73.662020935552178</v>
      </c>
      <c r="H28" s="2">
        <v>6.6</v>
      </c>
      <c r="I28" s="2">
        <v>6.8</v>
      </c>
      <c r="J28" s="2">
        <v>6.9</v>
      </c>
      <c r="K28" s="2">
        <v>7.1</v>
      </c>
      <c r="L28">
        <f t="shared" si="1"/>
        <v>6.85</v>
      </c>
    </row>
    <row r="29" spans="1:12" x14ac:dyDescent="0.45">
      <c r="A29" t="s">
        <v>59</v>
      </c>
      <c r="B29" t="s">
        <v>60</v>
      </c>
      <c r="C29" t="s">
        <v>6</v>
      </c>
      <c r="D29">
        <v>23220</v>
      </c>
      <c r="E29">
        <v>6733</v>
      </c>
      <c r="F29">
        <v>933455</v>
      </c>
      <c r="G29">
        <f t="shared" si="0"/>
        <v>138.63879399970295</v>
      </c>
      <c r="H29" s="2">
        <v>6</v>
      </c>
      <c r="I29" s="2">
        <v>6.2</v>
      </c>
      <c r="J29" s="2">
        <v>6.3</v>
      </c>
      <c r="K29" s="2">
        <v>6.4</v>
      </c>
      <c r="L29">
        <f t="shared" si="1"/>
        <v>6.2249999999999996</v>
      </c>
    </row>
    <row r="30" spans="1:12" x14ac:dyDescent="0.45">
      <c r="A30" t="s">
        <v>61</v>
      </c>
      <c r="B30" t="s">
        <v>62</v>
      </c>
      <c r="C30" t="s">
        <v>6</v>
      </c>
      <c r="D30">
        <v>23420</v>
      </c>
      <c r="E30">
        <v>4014.22</v>
      </c>
      <c r="F30">
        <v>168306</v>
      </c>
      <c r="G30">
        <f t="shared" si="0"/>
        <v>41.927447922635032</v>
      </c>
      <c r="H30" s="2">
        <v>5.8</v>
      </c>
      <c r="I30" s="2">
        <v>5.9</v>
      </c>
      <c r="J30" s="2">
        <v>6</v>
      </c>
      <c r="K30" s="2">
        <v>6.1</v>
      </c>
      <c r="L30">
        <f t="shared" si="1"/>
        <v>5.9499999999999993</v>
      </c>
    </row>
    <row r="31" spans="1:12" x14ac:dyDescent="0.45">
      <c r="A31" t="s">
        <v>63</v>
      </c>
      <c r="B31" t="s">
        <v>64</v>
      </c>
      <c r="C31" t="s">
        <v>6</v>
      </c>
      <c r="D31">
        <v>21460</v>
      </c>
      <c r="E31">
        <v>4665.57</v>
      </c>
      <c r="F31">
        <v>187180</v>
      </c>
      <c r="G31">
        <f t="shared" si="0"/>
        <v>40.119428065595415</v>
      </c>
      <c r="H31" s="2">
        <v>6.6</v>
      </c>
      <c r="I31" s="2">
        <v>6.6</v>
      </c>
      <c r="J31" s="2">
        <v>6.9</v>
      </c>
      <c r="K31" s="2">
        <v>7</v>
      </c>
      <c r="L31">
        <f t="shared" si="1"/>
        <v>6.7750000000000004</v>
      </c>
    </row>
    <row r="32" spans="1:12" x14ac:dyDescent="0.45">
      <c r="A32" t="s">
        <v>65</v>
      </c>
      <c r="B32" t="s">
        <v>66</v>
      </c>
      <c r="C32" t="s">
        <v>6</v>
      </c>
      <c r="D32">
        <v>21330</v>
      </c>
      <c r="E32">
        <v>5852.77</v>
      </c>
      <c r="F32">
        <v>770940</v>
      </c>
      <c r="G32">
        <f t="shared" si="0"/>
        <v>131.72224433900527</v>
      </c>
      <c r="H32" s="2">
        <v>9.8000000000000007</v>
      </c>
      <c r="I32" s="2">
        <v>9.9</v>
      </c>
      <c r="J32" s="2">
        <v>10.1</v>
      </c>
      <c r="K32" s="2">
        <v>10.199999999999999</v>
      </c>
      <c r="L32">
        <f t="shared" si="1"/>
        <v>10</v>
      </c>
    </row>
    <row r="33" spans="1:12" x14ac:dyDescent="0.45">
      <c r="A33" t="s">
        <v>67</v>
      </c>
      <c r="B33" t="s">
        <v>68</v>
      </c>
      <c r="C33" t="s">
        <v>6</v>
      </c>
      <c r="D33">
        <v>24230</v>
      </c>
      <c r="E33">
        <v>6309.34</v>
      </c>
      <c r="F33">
        <v>1471468</v>
      </c>
      <c r="G33">
        <f t="shared" si="0"/>
        <v>233.22059042625693</v>
      </c>
      <c r="H33" s="2">
        <v>7.1</v>
      </c>
      <c r="I33" s="2">
        <v>7.3</v>
      </c>
      <c r="J33" s="2">
        <v>7.3</v>
      </c>
      <c r="K33" s="2">
        <v>7.5</v>
      </c>
      <c r="L33">
        <f t="shared" si="1"/>
        <v>7.3</v>
      </c>
    </row>
    <row r="34" spans="1:12" x14ac:dyDescent="0.45">
      <c r="A34" t="s">
        <v>69</v>
      </c>
      <c r="B34" t="s">
        <v>70</v>
      </c>
      <c r="C34" t="s">
        <v>6</v>
      </c>
      <c r="D34">
        <v>22110</v>
      </c>
      <c r="E34">
        <v>6256.82</v>
      </c>
      <c r="F34">
        <v>192645</v>
      </c>
      <c r="G34">
        <f t="shared" si="0"/>
        <v>30.789602385876535</v>
      </c>
      <c r="H34" s="2">
        <v>5.5</v>
      </c>
      <c r="I34" s="2">
        <v>5.6</v>
      </c>
      <c r="J34" s="2">
        <v>5.7</v>
      </c>
      <c r="K34" s="2">
        <v>5.8</v>
      </c>
      <c r="L34">
        <f t="shared" si="1"/>
        <v>5.65</v>
      </c>
    </row>
    <row r="35" spans="1:12" x14ac:dyDescent="0.45">
      <c r="A35" t="s">
        <v>71</v>
      </c>
      <c r="B35" t="s">
        <v>72</v>
      </c>
      <c r="C35" t="s">
        <v>6</v>
      </c>
      <c r="D35">
        <v>23950</v>
      </c>
      <c r="E35">
        <v>10000.14</v>
      </c>
      <c r="F35">
        <v>1690493</v>
      </c>
      <c r="G35">
        <f t="shared" si="0"/>
        <v>169.04693334293322</v>
      </c>
      <c r="H35" s="2">
        <v>6.2</v>
      </c>
      <c r="I35" s="2">
        <v>6.3</v>
      </c>
      <c r="J35" s="2">
        <v>6.5</v>
      </c>
      <c r="K35" s="2">
        <v>6.8</v>
      </c>
      <c r="L35">
        <f t="shared" si="1"/>
        <v>6.45</v>
      </c>
    </row>
    <row r="36" spans="1:12" x14ac:dyDescent="0.45">
      <c r="A36" t="s">
        <v>73</v>
      </c>
      <c r="B36" t="s">
        <v>74</v>
      </c>
      <c r="C36" t="s">
        <v>6</v>
      </c>
      <c r="D36">
        <v>21800</v>
      </c>
      <c r="E36">
        <v>6101.01</v>
      </c>
      <c r="F36">
        <v>1230289</v>
      </c>
      <c r="G36">
        <f t="shared" si="0"/>
        <v>201.65333280883002</v>
      </c>
      <c r="H36" s="2">
        <v>9.9</v>
      </c>
      <c r="I36" s="2">
        <v>10</v>
      </c>
      <c r="J36" s="2">
        <v>10.199999999999999</v>
      </c>
      <c r="K36" s="2">
        <v>10.4</v>
      </c>
      <c r="L36">
        <f t="shared" si="1"/>
        <v>10.125</v>
      </c>
    </row>
    <row r="37" spans="1:12" x14ac:dyDescent="0.45">
      <c r="A37" t="s">
        <v>75</v>
      </c>
      <c r="B37" t="s">
        <v>76</v>
      </c>
      <c r="C37" t="s">
        <v>6</v>
      </c>
      <c r="D37">
        <v>23690</v>
      </c>
      <c r="E37">
        <v>6774.72</v>
      </c>
      <c r="F37">
        <v>1120666</v>
      </c>
      <c r="G37">
        <f t="shared" si="0"/>
        <v>165.41879221576684</v>
      </c>
      <c r="H37" s="2">
        <v>5.4</v>
      </c>
      <c r="I37" s="2">
        <v>5.5</v>
      </c>
      <c r="J37" s="2">
        <v>5.7</v>
      </c>
      <c r="K37" s="2">
        <v>5.9</v>
      </c>
      <c r="L37">
        <f t="shared" si="1"/>
        <v>5.625</v>
      </c>
    </row>
    <row r="38" spans="1:12" x14ac:dyDescent="0.45">
      <c r="A38" t="s">
        <v>77</v>
      </c>
      <c r="B38" t="s">
        <v>78</v>
      </c>
      <c r="C38" t="s">
        <v>6</v>
      </c>
      <c r="D38">
        <v>21270</v>
      </c>
      <c r="E38">
        <v>6790.63</v>
      </c>
      <c r="F38">
        <v>216069</v>
      </c>
      <c r="G38">
        <f t="shared" si="0"/>
        <v>31.818697234277231</v>
      </c>
      <c r="H38" s="2">
        <v>6.8</v>
      </c>
      <c r="I38" s="2">
        <v>6.9</v>
      </c>
      <c r="J38" s="2">
        <v>7</v>
      </c>
      <c r="K38" s="2">
        <v>7.1</v>
      </c>
      <c r="L38">
        <f t="shared" si="1"/>
        <v>6.9499999999999993</v>
      </c>
    </row>
    <row r="39" spans="1:12" x14ac:dyDescent="0.45">
      <c r="A39" t="s">
        <v>79</v>
      </c>
      <c r="B39" t="s">
        <v>80</v>
      </c>
      <c r="C39" t="s">
        <v>6</v>
      </c>
      <c r="D39">
        <v>23140</v>
      </c>
      <c r="E39">
        <v>6126.7</v>
      </c>
      <c r="F39">
        <v>619362</v>
      </c>
      <c r="G39">
        <f t="shared" si="0"/>
        <v>101.09226826839898</v>
      </c>
      <c r="H39" s="2">
        <v>6.3</v>
      </c>
      <c r="I39" s="2">
        <v>6.5</v>
      </c>
      <c r="J39" s="2">
        <v>6.7</v>
      </c>
      <c r="K39" s="2">
        <v>6.8</v>
      </c>
      <c r="L39">
        <f t="shared" si="1"/>
        <v>6.5750000000000002</v>
      </c>
    </row>
    <row r="40" spans="1:12" x14ac:dyDescent="0.45">
      <c r="A40" t="s">
        <v>81</v>
      </c>
      <c r="B40" t="s">
        <v>82</v>
      </c>
      <c r="C40" t="s">
        <v>6</v>
      </c>
      <c r="D40">
        <v>24270</v>
      </c>
      <c r="E40">
        <v>7431.49</v>
      </c>
      <c r="F40">
        <v>1298990</v>
      </c>
      <c r="G40">
        <f t="shared" si="0"/>
        <v>174.79536405216183</v>
      </c>
      <c r="H40" s="2">
        <v>5.7</v>
      </c>
      <c r="I40" s="2">
        <v>5.9</v>
      </c>
      <c r="J40" s="2">
        <v>6</v>
      </c>
      <c r="K40" s="2">
        <v>6.2</v>
      </c>
      <c r="L40">
        <f t="shared" si="1"/>
        <v>5.95</v>
      </c>
    </row>
    <row r="41" spans="1:12" x14ac:dyDescent="0.45">
      <c r="A41" t="s">
        <v>83</v>
      </c>
      <c r="B41" t="s">
        <v>84</v>
      </c>
      <c r="C41" t="s">
        <v>6</v>
      </c>
      <c r="D41">
        <v>23140</v>
      </c>
      <c r="E41">
        <v>4999.18</v>
      </c>
      <c r="F41">
        <v>257973</v>
      </c>
      <c r="G41">
        <f t="shared" si="0"/>
        <v>51.603062902315976</v>
      </c>
      <c r="H41" s="2">
        <v>5.0999999999999996</v>
      </c>
      <c r="I41" s="2">
        <v>5.2</v>
      </c>
      <c r="J41" s="2">
        <v>5.3</v>
      </c>
      <c r="K41" s="2">
        <v>5.3</v>
      </c>
      <c r="L41">
        <f t="shared" si="1"/>
        <v>5.2250000000000005</v>
      </c>
    </row>
    <row r="42" spans="1:12" x14ac:dyDescent="0.45">
      <c r="A42" t="s">
        <v>85</v>
      </c>
      <c r="B42" t="s">
        <v>86</v>
      </c>
      <c r="C42" t="s">
        <v>6</v>
      </c>
      <c r="D42">
        <v>22840</v>
      </c>
      <c r="E42">
        <v>9242.6</v>
      </c>
      <c r="F42">
        <v>433570</v>
      </c>
      <c r="G42">
        <f t="shared" si="0"/>
        <v>46.909960400753036</v>
      </c>
      <c r="H42" s="2">
        <v>6.7</v>
      </c>
      <c r="I42" s="2">
        <v>6.6</v>
      </c>
      <c r="J42" s="2">
        <v>6.8</v>
      </c>
      <c r="K42" s="2">
        <v>6.9</v>
      </c>
      <c r="L42">
        <f t="shared" si="1"/>
        <v>6.75</v>
      </c>
    </row>
    <row r="43" spans="1:12" x14ac:dyDescent="0.45">
      <c r="A43" t="s">
        <v>87</v>
      </c>
      <c r="B43" t="s">
        <v>88</v>
      </c>
      <c r="C43" t="s">
        <v>6</v>
      </c>
      <c r="D43">
        <v>22510</v>
      </c>
      <c r="E43">
        <v>6343.44</v>
      </c>
      <c r="F43">
        <v>328543</v>
      </c>
      <c r="G43">
        <f t="shared" si="0"/>
        <v>51.792560503449238</v>
      </c>
      <c r="H43" s="2">
        <v>5.8</v>
      </c>
      <c r="I43" s="2">
        <v>5.9</v>
      </c>
      <c r="J43" s="2">
        <v>6</v>
      </c>
      <c r="K43" s="2">
        <v>6.1</v>
      </c>
      <c r="L43">
        <f t="shared" si="1"/>
        <v>5.9499999999999993</v>
      </c>
    </row>
    <row r="44" spans="1:12" x14ac:dyDescent="0.45">
      <c r="A44" t="s">
        <v>89</v>
      </c>
      <c r="B44" t="s">
        <v>90</v>
      </c>
      <c r="C44" t="s">
        <v>6</v>
      </c>
      <c r="D44">
        <v>21970</v>
      </c>
      <c r="E44">
        <v>4780.59</v>
      </c>
      <c r="F44">
        <v>774133</v>
      </c>
      <c r="G44">
        <f t="shared" si="0"/>
        <v>161.93252297310582</v>
      </c>
      <c r="H44" s="2">
        <v>7.1</v>
      </c>
      <c r="I44" s="2">
        <v>7.3</v>
      </c>
      <c r="J44" s="2">
        <v>7.5</v>
      </c>
      <c r="K44" s="2">
        <v>7.6</v>
      </c>
      <c r="L44">
        <f t="shared" si="1"/>
        <v>7.375</v>
      </c>
    </row>
    <row r="45" spans="1:12" x14ac:dyDescent="0.45">
      <c r="A45" t="s">
        <v>91</v>
      </c>
      <c r="B45" t="s">
        <v>92</v>
      </c>
      <c r="C45" t="s">
        <v>6</v>
      </c>
      <c r="D45">
        <v>22100</v>
      </c>
      <c r="E45">
        <v>4977.1400000000003</v>
      </c>
      <c r="F45">
        <v>228654</v>
      </c>
      <c r="G45">
        <f t="shared" si="0"/>
        <v>45.940841527463562</v>
      </c>
      <c r="H45" s="2">
        <v>5.5</v>
      </c>
      <c r="I45" s="2">
        <v>5.6</v>
      </c>
      <c r="J45" s="2">
        <v>5.7</v>
      </c>
      <c r="K45" s="2">
        <v>5.8</v>
      </c>
      <c r="L45">
        <f t="shared" si="1"/>
        <v>5.65</v>
      </c>
    </row>
    <row r="46" spans="1:12" x14ac:dyDescent="0.45">
      <c r="A46" t="s">
        <v>93</v>
      </c>
      <c r="B46" t="s">
        <v>94</v>
      </c>
      <c r="C46" t="s">
        <v>6</v>
      </c>
      <c r="D46">
        <v>24120</v>
      </c>
      <c r="E46">
        <v>6815.38</v>
      </c>
      <c r="F46">
        <v>1487570</v>
      </c>
      <c r="G46">
        <f t="shared" si="0"/>
        <v>218.26662636566118</v>
      </c>
      <c r="H46" s="2">
        <v>5.4</v>
      </c>
      <c r="I46" s="2">
        <v>5.4</v>
      </c>
      <c r="J46" s="2">
        <v>5.6</v>
      </c>
      <c r="K46" s="2">
        <v>5.6</v>
      </c>
      <c r="L46">
        <f t="shared" si="1"/>
        <v>5.5</v>
      </c>
    </row>
    <row r="47" spans="1:12" x14ac:dyDescent="0.45">
      <c r="A47" t="s">
        <v>95</v>
      </c>
      <c r="B47" t="s">
        <v>96</v>
      </c>
      <c r="C47" t="s">
        <v>6</v>
      </c>
      <c r="D47">
        <v>23090</v>
      </c>
      <c r="E47">
        <v>6775.23</v>
      </c>
      <c r="F47">
        <v>691268</v>
      </c>
      <c r="G47">
        <f t="shared" si="0"/>
        <v>102.0287134163711</v>
      </c>
      <c r="H47" s="2">
        <v>6.8</v>
      </c>
      <c r="I47" s="2">
        <v>7.1</v>
      </c>
      <c r="J47" s="2">
        <v>7.2</v>
      </c>
      <c r="K47" s="2">
        <v>7.4</v>
      </c>
      <c r="L47">
        <f t="shared" si="1"/>
        <v>7.125</v>
      </c>
    </row>
    <row r="48" spans="1:12" x14ac:dyDescent="0.45">
      <c r="A48" t="s">
        <v>97</v>
      </c>
      <c r="B48" t="s">
        <v>98</v>
      </c>
      <c r="C48" t="s">
        <v>6</v>
      </c>
      <c r="D48">
        <v>21910</v>
      </c>
      <c r="E48">
        <v>5216.53</v>
      </c>
      <c r="F48">
        <v>176473</v>
      </c>
      <c r="G48">
        <f t="shared" si="0"/>
        <v>33.829576365898404</v>
      </c>
      <c r="H48" s="2">
        <v>7.3</v>
      </c>
      <c r="I48" s="2">
        <v>7.3</v>
      </c>
      <c r="J48" s="2">
        <v>7.3</v>
      </c>
      <c r="K48" s="2">
        <v>7.5</v>
      </c>
      <c r="L48">
        <f t="shared" si="1"/>
        <v>7.35</v>
      </c>
    </row>
    <row r="49" spans="1:12" x14ac:dyDescent="0.45">
      <c r="A49" t="s">
        <v>99</v>
      </c>
      <c r="B49" t="s">
        <v>100</v>
      </c>
      <c r="C49" t="s">
        <v>6</v>
      </c>
      <c r="D49">
        <v>21050</v>
      </c>
      <c r="E49">
        <v>5360.91</v>
      </c>
      <c r="F49">
        <v>333602</v>
      </c>
      <c r="G49">
        <f t="shared" si="0"/>
        <v>62.228614171847688</v>
      </c>
      <c r="H49" s="2">
        <v>7.1</v>
      </c>
      <c r="I49" s="2">
        <v>7.1</v>
      </c>
      <c r="J49" s="2">
        <v>7.2</v>
      </c>
      <c r="K49" s="2">
        <v>7.4</v>
      </c>
      <c r="L49">
        <f t="shared" si="1"/>
        <v>7.1999999999999993</v>
      </c>
    </row>
    <row r="50" spans="1:12" x14ac:dyDescent="0.45">
      <c r="A50" t="s">
        <v>101</v>
      </c>
      <c r="B50" t="s">
        <v>102</v>
      </c>
      <c r="C50" t="s">
        <v>6</v>
      </c>
      <c r="D50">
        <v>21580</v>
      </c>
      <c r="E50">
        <v>5166.88</v>
      </c>
      <c r="F50">
        <v>76486</v>
      </c>
      <c r="G50">
        <f t="shared" si="0"/>
        <v>14.803130709441675</v>
      </c>
      <c r="H50" s="2">
        <v>4.5999999999999996</v>
      </c>
      <c r="I50" s="2">
        <v>4.7</v>
      </c>
      <c r="J50" s="2">
        <v>4.8</v>
      </c>
      <c r="K50" s="2">
        <v>4.8</v>
      </c>
      <c r="L50">
        <f t="shared" si="1"/>
        <v>4.7250000000000005</v>
      </c>
    </row>
    <row r="51" spans="1:12" x14ac:dyDescent="0.45">
      <c r="A51" t="s">
        <v>103</v>
      </c>
      <c r="B51" t="s">
        <v>104</v>
      </c>
      <c r="C51" t="s">
        <v>6</v>
      </c>
      <c r="D51">
        <v>22500</v>
      </c>
      <c r="E51">
        <v>7165.6</v>
      </c>
      <c r="F51">
        <v>833776</v>
      </c>
      <c r="G51">
        <f t="shared" si="0"/>
        <v>116.35815563246622</v>
      </c>
      <c r="H51" s="2">
        <v>6.1</v>
      </c>
      <c r="I51" s="2">
        <v>6.2</v>
      </c>
      <c r="J51" s="2">
        <v>6.3</v>
      </c>
      <c r="K51" s="2">
        <v>6.5</v>
      </c>
      <c r="L51">
        <f t="shared" si="1"/>
        <v>6.2750000000000004</v>
      </c>
    </row>
    <row r="52" spans="1:12" x14ac:dyDescent="0.45">
      <c r="A52" t="s">
        <v>105</v>
      </c>
      <c r="B52" t="s">
        <v>106</v>
      </c>
      <c r="C52" t="s">
        <v>6</v>
      </c>
      <c r="D52">
        <v>22480</v>
      </c>
      <c r="E52">
        <v>5938.02</v>
      </c>
      <c r="F52">
        <v>497522</v>
      </c>
      <c r="G52">
        <f t="shared" si="0"/>
        <v>83.785841071602988</v>
      </c>
      <c r="H52" s="2">
        <v>5</v>
      </c>
      <c r="I52" s="2">
        <v>5</v>
      </c>
      <c r="J52" s="2">
        <v>5.2</v>
      </c>
      <c r="K52" s="2">
        <v>5.3</v>
      </c>
      <c r="L52">
        <f t="shared" si="1"/>
        <v>5.125</v>
      </c>
    </row>
    <row r="53" spans="1:12" x14ac:dyDescent="0.45">
      <c r="A53" t="s">
        <v>107</v>
      </c>
      <c r="B53" t="s">
        <v>108</v>
      </c>
      <c r="C53" t="s">
        <v>6</v>
      </c>
      <c r="D53">
        <v>22830</v>
      </c>
      <c r="E53">
        <v>8161.58</v>
      </c>
      <c r="F53">
        <v>563076</v>
      </c>
      <c r="G53">
        <f t="shared" si="0"/>
        <v>68.991053202933742</v>
      </c>
      <c r="H53" s="2">
        <v>7</v>
      </c>
      <c r="I53" s="2">
        <v>7.1</v>
      </c>
      <c r="J53" s="2">
        <v>7.3</v>
      </c>
      <c r="K53" s="2">
        <v>7.4</v>
      </c>
      <c r="L53">
        <f t="shared" si="1"/>
        <v>7.1999999999999993</v>
      </c>
    </row>
    <row r="54" spans="1:12" x14ac:dyDescent="0.45">
      <c r="A54" t="s">
        <v>109</v>
      </c>
      <c r="B54" t="s">
        <v>110</v>
      </c>
      <c r="C54" t="s">
        <v>6</v>
      </c>
      <c r="D54">
        <v>21350</v>
      </c>
      <c r="E54">
        <v>6210.6</v>
      </c>
      <c r="F54">
        <v>168331</v>
      </c>
      <c r="G54">
        <f t="shared" si="0"/>
        <v>27.10382249702122</v>
      </c>
      <c r="H54" s="2">
        <v>6.2</v>
      </c>
      <c r="I54" s="2">
        <v>6.4</v>
      </c>
      <c r="J54" s="2">
        <v>6.6</v>
      </c>
      <c r="K54" s="2">
        <v>6.5</v>
      </c>
      <c r="L54">
        <f t="shared" si="1"/>
        <v>6.4250000000000007</v>
      </c>
    </row>
    <row r="55" spans="1:12" x14ac:dyDescent="0.45">
      <c r="A55" t="s">
        <v>111</v>
      </c>
      <c r="B55" t="s">
        <v>112</v>
      </c>
      <c r="C55" t="s">
        <v>6</v>
      </c>
      <c r="D55">
        <v>22230</v>
      </c>
      <c r="E55">
        <v>5175.21</v>
      </c>
      <c r="F55">
        <v>305468</v>
      </c>
      <c r="G55">
        <f t="shared" si="0"/>
        <v>59.025237623207559</v>
      </c>
      <c r="H55" s="2">
        <v>4.8</v>
      </c>
      <c r="I55" s="2">
        <v>4.7</v>
      </c>
      <c r="J55" s="2">
        <v>4.8</v>
      </c>
      <c r="K55" s="2">
        <v>4.8</v>
      </c>
      <c r="L55">
        <f t="shared" si="1"/>
        <v>4.7750000000000004</v>
      </c>
    </row>
    <row r="56" spans="1:12" x14ac:dyDescent="0.45">
      <c r="A56" t="s">
        <v>113</v>
      </c>
      <c r="B56" t="s">
        <v>114</v>
      </c>
      <c r="C56" t="s">
        <v>6</v>
      </c>
      <c r="D56">
        <v>23010</v>
      </c>
      <c r="E56">
        <v>5245.91</v>
      </c>
      <c r="F56">
        <v>732236</v>
      </c>
      <c r="G56">
        <f t="shared" si="0"/>
        <v>139.58226504076509</v>
      </c>
      <c r="H56" s="2">
        <v>6.8</v>
      </c>
      <c r="I56" s="2">
        <v>6.9</v>
      </c>
      <c r="J56" s="2">
        <v>7.1</v>
      </c>
      <c r="K56" s="2">
        <v>7.2</v>
      </c>
      <c r="L56">
        <f t="shared" si="1"/>
        <v>6.9999999999999991</v>
      </c>
    </row>
    <row r="57" spans="1:12" x14ac:dyDescent="0.45">
      <c r="A57" t="s">
        <v>115</v>
      </c>
      <c r="B57" t="s">
        <v>116</v>
      </c>
      <c r="C57" t="s">
        <v>6</v>
      </c>
      <c r="D57">
        <v>21890</v>
      </c>
      <c r="E57">
        <v>6211.44</v>
      </c>
      <c r="F57">
        <v>180290</v>
      </c>
      <c r="G57">
        <f t="shared" si="0"/>
        <v>29.025475574101982</v>
      </c>
      <c r="H57" s="2">
        <v>7.1</v>
      </c>
      <c r="I57" s="2">
        <v>7.1</v>
      </c>
      <c r="J57" s="2">
        <v>7.3</v>
      </c>
      <c r="K57" s="2">
        <v>7.4</v>
      </c>
      <c r="L57">
        <f t="shared" si="1"/>
        <v>7.2249999999999996</v>
      </c>
    </row>
    <row r="58" spans="1:12" x14ac:dyDescent="0.45">
      <c r="A58" t="s">
        <v>117</v>
      </c>
      <c r="B58" t="s">
        <v>118</v>
      </c>
      <c r="C58" t="s">
        <v>6</v>
      </c>
      <c r="D58">
        <v>23140</v>
      </c>
      <c r="E58">
        <v>6822.64</v>
      </c>
      <c r="F58">
        <v>783390</v>
      </c>
      <c r="G58">
        <f t="shared" si="0"/>
        <v>114.8221216420623</v>
      </c>
      <c r="H58" s="2">
        <v>5.7</v>
      </c>
      <c r="I58" s="2">
        <v>5.8</v>
      </c>
      <c r="J58" s="2">
        <v>5.9</v>
      </c>
      <c r="K58" s="2">
        <v>6</v>
      </c>
      <c r="L58">
        <f t="shared" si="1"/>
        <v>5.85</v>
      </c>
    </row>
    <row r="59" spans="1:12" x14ac:dyDescent="0.45">
      <c r="A59" t="s">
        <v>119</v>
      </c>
      <c r="B59" t="s">
        <v>120</v>
      </c>
      <c r="C59" t="s">
        <v>6</v>
      </c>
      <c r="D59">
        <v>22980</v>
      </c>
      <c r="E59">
        <v>6216.27</v>
      </c>
      <c r="F59">
        <v>1051309</v>
      </c>
      <c r="G59">
        <f t="shared" si="0"/>
        <v>169.12215846480282</v>
      </c>
      <c r="H59" s="2">
        <v>6.8</v>
      </c>
      <c r="I59" s="2">
        <v>7</v>
      </c>
      <c r="J59" s="2">
        <v>7.2</v>
      </c>
      <c r="K59" s="2">
        <v>7.3</v>
      </c>
      <c r="L59">
        <f t="shared" si="1"/>
        <v>7.0750000000000002</v>
      </c>
    </row>
    <row r="60" spans="1:12" x14ac:dyDescent="0.45">
      <c r="A60" t="s">
        <v>121</v>
      </c>
      <c r="B60" t="s">
        <v>122</v>
      </c>
      <c r="C60" t="s">
        <v>6</v>
      </c>
      <c r="D60">
        <v>21380</v>
      </c>
      <c r="E60">
        <v>6816.71</v>
      </c>
      <c r="F60">
        <v>201417</v>
      </c>
      <c r="G60">
        <f t="shared" si="0"/>
        <v>29.547538328607203</v>
      </c>
      <c r="H60" s="2">
        <v>6.6</v>
      </c>
      <c r="I60" s="2">
        <v>6.6</v>
      </c>
      <c r="J60" s="2">
        <v>6.7</v>
      </c>
      <c r="K60" s="2">
        <v>6.9</v>
      </c>
      <c r="L60">
        <f t="shared" si="1"/>
        <v>6.6999999999999993</v>
      </c>
    </row>
    <row r="61" spans="1:12" x14ac:dyDescent="0.45">
      <c r="A61" t="s">
        <v>123</v>
      </c>
      <c r="B61" t="s">
        <v>124</v>
      </c>
      <c r="C61" t="s">
        <v>6</v>
      </c>
      <c r="D61">
        <v>21340</v>
      </c>
      <c r="E61">
        <v>5738.33</v>
      </c>
      <c r="F61">
        <v>2615635</v>
      </c>
      <c r="G61">
        <f t="shared" si="0"/>
        <v>455.81815615344533</v>
      </c>
      <c r="H61" s="2">
        <v>9.3000000000000007</v>
      </c>
      <c r="I61" s="2">
        <v>9.5</v>
      </c>
      <c r="J61" s="2">
        <v>9.6999999999999993</v>
      </c>
      <c r="K61" s="2">
        <v>10</v>
      </c>
      <c r="L61">
        <f t="shared" si="1"/>
        <v>9.625</v>
      </c>
    </row>
    <row r="62" spans="1:12" x14ac:dyDescent="0.45">
      <c r="A62" t="s">
        <v>125</v>
      </c>
      <c r="B62" t="s">
        <v>126</v>
      </c>
      <c r="C62" t="s">
        <v>6</v>
      </c>
      <c r="D62">
        <v>23330</v>
      </c>
      <c r="E62">
        <v>5860.22</v>
      </c>
      <c r="F62">
        <v>829899</v>
      </c>
      <c r="G62">
        <f t="shared" si="0"/>
        <v>141.61567313172543</v>
      </c>
      <c r="H62" s="2">
        <v>7.1</v>
      </c>
      <c r="I62" s="2">
        <v>7.4</v>
      </c>
      <c r="J62" s="2">
        <v>7.4</v>
      </c>
      <c r="K62" s="2">
        <v>7.6</v>
      </c>
      <c r="L62">
        <f t="shared" si="1"/>
        <v>7.375</v>
      </c>
    </row>
    <row r="63" spans="1:12" x14ac:dyDescent="0.45">
      <c r="A63" t="s">
        <v>127</v>
      </c>
      <c r="B63" t="s">
        <v>128</v>
      </c>
      <c r="C63" t="s">
        <v>6</v>
      </c>
      <c r="D63">
        <v>21400</v>
      </c>
      <c r="E63">
        <v>6103.38</v>
      </c>
      <c r="F63">
        <v>275201</v>
      </c>
      <c r="G63">
        <f t="shared" si="0"/>
        <v>45.089933774400414</v>
      </c>
      <c r="H63" s="2">
        <v>6.3</v>
      </c>
      <c r="I63" s="2">
        <v>6.4</v>
      </c>
      <c r="J63" s="2">
        <v>6.6</v>
      </c>
      <c r="K63" s="2">
        <v>6.8</v>
      </c>
      <c r="L63">
        <f t="shared" si="1"/>
        <v>6.5249999999999995</v>
      </c>
    </row>
    <row r="64" spans="1:12" x14ac:dyDescent="0.45">
      <c r="A64" t="s">
        <v>129</v>
      </c>
      <c r="B64" t="s">
        <v>130</v>
      </c>
      <c r="C64" t="s">
        <v>6</v>
      </c>
      <c r="D64">
        <v>20720</v>
      </c>
      <c r="E64">
        <v>6671.35</v>
      </c>
      <c r="F64">
        <v>1457905</v>
      </c>
      <c r="G64">
        <f t="shared" si="0"/>
        <v>218.53223110764688</v>
      </c>
      <c r="H64" s="2">
        <v>8.1999999999999993</v>
      </c>
      <c r="I64" s="2">
        <v>8.5</v>
      </c>
      <c r="J64" s="2">
        <v>8.6</v>
      </c>
      <c r="K64" s="2">
        <v>8.8000000000000007</v>
      </c>
      <c r="L64">
        <f t="shared" si="1"/>
        <v>8.5249999999999986</v>
      </c>
    </row>
    <row r="65" spans="1:12" x14ac:dyDescent="0.45">
      <c r="A65" t="s">
        <v>131</v>
      </c>
      <c r="B65" t="s">
        <v>132</v>
      </c>
      <c r="C65" t="s">
        <v>6</v>
      </c>
      <c r="D65">
        <v>23060</v>
      </c>
      <c r="E65">
        <v>7969.66</v>
      </c>
      <c r="F65">
        <v>664453</v>
      </c>
      <c r="G65">
        <f t="shared" si="0"/>
        <v>83.372816406220593</v>
      </c>
      <c r="H65" s="2">
        <v>6.1</v>
      </c>
      <c r="I65" s="2">
        <v>6.3</v>
      </c>
      <c r="J65" s="2">
        <v>6.5</v>
      </c>
      <c r="K65" s="2">
        <v>6.6</v>
      </c>
      <c r="L65">
        <f t="shared" si="1"/>
        <v>6.375</v>
      </c>
    </row>
    <row r="66" spans="1:12" x14ac:dyDescent="0.45">
      <c r="A66" t="s">
        <v>133</v>
      </c>
      <c r="B66" t="s">
        <v>134</v>
      </c>
      <c r="C66" t="s">
        <v>6</v>
      </c>
      <c r="D66">
        <v>23300</v>
      </c>
      <c r="E66">
        <v>7644.76</v>
      </c>
      <c r="F66">
        <v>706564</v>
      </c>
      <c r="G66">
        <f t="shared" si="0"/>
        <v>92.424615030426068</v>
      </c>
      <c r="H66" s="2">
        <v>5.5</v>
      </c>
      <c r="I66" s="2">
        <v>5.5</v>
      </c>
      <c r="J66" s="2">
        <v>5.7</v>
      </c>
      <c r="K66" s="2">
        <v>5.8</v>
      </c>
      <c r="L66">
        <f t="shared" si="1"/>
        <v>5.625</v>
      </c>
    </row>
    <row r="67" spans="1:12" x14ac:dyDescent="0.45">
      <c r="A67" t="s">
        <v>135</v>
      </c>
      <c r="B67" t="s">
        <v>136</v>
      </c>
      <c r="C67" t="s">
        <v>6</v>
      </c>
      <c r="D67">
        <v>21530</v>
      </c>
      <c r="E67">
        <v>4464.04</v>
      </c>
      <c r="F67">
        <v>231349</v>
      </c>
      <c r="G67">
        <f t="shared" ref="G67:G97" si="2">F67/E67</f>
        <v>51.825028449565863</v>
      </c>
      <c r="H67" s="2">
        <v>7.6</v>
      </c>
      <c r="I67" s="2">
        <v>7.6</v>
      </c>
      <c r="J67" s="2">
        <v>7.8</v>
      </c>
      <c r="K67" s="2">
        <v>8</v>
      </c>
      <c r="L67">
        <f t="shared" ref="L67:L97" si="3">(H67+I67+J67+K67)/4</f>
        <v>7.75</v>
      </c>
    </row>
    <row r="68" spans="1:12" x14ac:dyDescent="0.45">
      <c r="A68" t="s">
        <v>137</v>
      </c>
      <c r="B68" t="s">
        <v>138</v>
      </c>
      <c r="C68" t="s">
        <v>6</v>
      </c>
      <c r="D68">
        <v>20650</v>
      </c>
      <c r="E68">
        <v>4116.0200000000004</v>
      </c>
      <c r="F68">
        <v>496855</v>
      </c>
      <c r="G68">
        <f t="shared" si="2"/>
        <v>120.71248439026049</v>
      </c>
      <c r="H68" s="2">
        <v>11.6</v>
      </c>
      <c r="I68" s="2">
        <v>11.8</v>
      </c>
      <c r="J68" s="2">
        <v>12.1</v>
      </c>
      <c r="K68" s="2">
        <v>12.4</v>
      </c>
      <c r="L68">
        <f t="shared" si="3"/>
        <v>11.975</v>
      </c>
    </row>
    <row r="69" spans="1:12" x14ac:dyDescent="0.45">
      <c r="A69" t="s">
        <v>139</v>
      </c>
      <c r="B69" t="s">
        <v>140</v>
      </c>
      <c r="C69" t="s">
        <v>6</v>
      </c>
      <c r="D69">
        <v>24090</v>
      </c>
      <c r="E69">
        <v>4755.03</v>
      </c>
      <c r="F69">
        <v>1163810</v>
      </c>
      <c r="G69">
        <f t="shared" si="2"/>
        <v>244.75345055656854</v>
      </c>
      <c r="H69" s="2">
        <v>6</v>
      </c>
      <c r="I69" s="2">
        <v>6.2</v>
      </c>
      <c r="J69" s="2">
        <v>6.4</v>
      </c>
      <c r="K69" s="2">
        <v>6.5</v>
      </c>
      <c r="L69">
        <f t="shared" si="3"/>
        <v>6.2750000000000004</v>
      </c>
    </row>
    <row r="70" spans="1:12" x14ac:dyDescent="0.45">
      <c r="A70" t="s">
        <v>141</v>
      </c>
      <c r="B70" t="s">
        <v>142</v>
      </c>
      <c r="C70" t="s">
        <v>6</v>
      </c>
      <c r="D70">
        <v>24470</v>
      </c>
      <c r="E70">
        <v>3525.17</v>
      </c>
      <c r="F70">
        <v>770738</v>
      </c>
      <c r="G70">
        <f t="shared" si="2"/>
        <v>218.63853374447189</v>
      </c>
      <c r="H70" s="2">
        <v>6.7</v>
      </c>
      <c r="I70" s="2">
        <v>6.9</v>
      </c>
      <c r="J70" s="2">
        <v>7.2</v>
      </c>
      <c r="K70" s="2">
        <v>7.2</v>
      </c>
      <c r="L70">
        <f t="shared" si="3"/>
        <v>7</v>
      </c>
    </row>
    <row r="71" spans="1:12" x14ac:dyDescent="0.45">
      <c r="A71" t="s">
        <v>143</v>
      </c>
      <c r="B71" t="s">
        <v>144</v>
      </c>
      <c r="C71" t="s">
        <v>6</v>
      </c>
      <c r="D71">
        <v>24480</v>
      </c>
      <c r="E71">
        <v>3249.12</v>
      </c>
      <c r="F71">
        <v>1914667</v>
      </c>
      <c r="G71">
        <f t="shared" si="2"/>
        <v>589.28786871522141</v>
      </c>
      <c r="H71" s="2">
        <v>6.1</v>
      </c>
      <c r="I71" s="2">
        <v>6.3</v>
      </c>
      <c r="J71" s="2">
        <v>6.4</v>
      </c>
      <c r="K71" s="2">
        <v>6.6</v>
      </c>
      <c r="L71">
        <f t="shared" si="3"/>
        <v>6.35</v>
      </c>
    </row>
    <row r="72" spans="1:12" x14ac:dyDescent="0.45">
      <c r="A72" t="s">
        <v>145</v>
      </c>
      <c r="B72" t="s">
        <v>146</v>
      </c>
      <c r="C72" t="s">
        <v>6</v>
      </c>
      <c r="D72">
        <v>21860</v>
      </c>
      <c r="E72">
        <v>5360.08</v>
      </c>
      <c r="F72">
        <v>233185</v>
      </c>
      <c r="G72">
        <f t="shared" si="2"/>
        <v>43.504014865449768</v>
      </c>
      <c r="H72" s="2">
        <v>6.1</v>
      </c>
      <c r="I72" s="2">
        <v>6.3</v>
      </c>
      <c r="J72" s="2">
        <v>6.5</v>
      </c>
      <c r="K72" s="2">
        <v>6.6</v>
      </c>
      <c r="L72">
        <f t="shared" si="3"/>
        <v>6.375</v>
      </c>
    </row>
    <row r="73" spans="1:12" x14ac:dyDescent="0.45">
      <c r="A73" t="s">
        <v>147</v>
      </c>
      <c r="B73" t="s">
        <v>148</v>
      </c>
      <c r="C73" t="s">
        <v>6</v>
      </c>
      <c r="D73">
        <v>22170</v>
      </c>
      <c r="E73">
        <v>8574.69</v>
      </c>
      <c r="F73">
        <v>550310</v>
      </c>
      <c r="G73">
        <f t="shared" si="2"/>
        <v>64.178413447016737</v>
      </c>
      <c r="H73" s="2">
        <v>6.3</v>
      </c>
      <c r="I73" s="2">
        <v>6.4</v>
      </c>
      <c r="J73" s="2">
        <v>6.6</v>
      </c>
      <c r="K73" s="2">
        <v>6.7</v>
      </c>
      <c r="L73">
        <f t="shared" si="3"/>
        <v>6.4999999999999991</v>
      </c>
    </row>
    <row r="74" spans="1:12" x14ac:dyDescent="0.45">
      <c r="A74" t="s">
        <v>149</v>
      </c>
      <c r="B74" t="s">
        <v>150</v>
      </c>
      <c r="C74" t="s">
        <v>6</v>
      </c>
      <c r="D74">
        <v>22230</v>
      </c>
      <c r="E74">
        <v>6205.99</v>
      </c>
      <c r="F74">
        <v>566733</v>
      </c>
      <c r="G74">
        <f t="shared" si="2"/>
        <v>91.320321173575849</v>
      </c>
      <c r="H74" s="2">
        <v>6.7</v>
      </c>
      <c r="I74" s="2">
        <v>7</v>
      </c>
      <c r="J74" s="2">
        <v>7.1</v>
      </c>
      <c r="K74" s="2">
        <v>7.2</v>
      </c>
      <c r="L74">
        <f t="shared" si="3"/>
        <v>6.9999999999999991</v>
      </c>
    </row>
    <row r="75" spans="1:12" x14ac:dyDescent="0.45">
      <c r="A75" t="s">
        <v>151</v>
      </c>
      <c r="B75" t="s">
        <v>152</v>
      </c>
      <c r="C75" t="s">
        <v>6</v>
      </c>
      <c r="D75">
        <v>24270</v>
      </c>
      <c r="E75">
        <v>6028.25</v>
      </c>
      <c r="F75">
        <v>448226</v>
      </c>
      <c r="G75">
        <f t="shared" si="2"/>
        <v>74.354248745489983</v>
      </c>
      <c r="H75" s="2">
        <v>5.0999999999999996</v>
      </c>
      <c r="I75" s="2">
        <v>5.0999999999999996</v>
      </c>
      <c r="J75" s="2">
        <v>5.3</v>
      </c>
      <c r="K75" s="2">
        <v>5.4</v>
      </c>
      <c r="L75">
        <f t="shared" si="3"/>
        <v>5.2249999999999996</v>
      </c>
    </row>
    <row r="76" spans="1:12" x14ac:dyDescent="0.45">
      <c r="A76" t="s">
        <v>153</v>
      </c>
      <c r="B76" t="s">
        <v>154</v>
      </c>
      <c r="C76" t="s">
        <v>6</v>
      </c>
      <c r="D76">
        <v>28120</v>
      </c>
      <c r="E76">
        <v>4387.8</v>
      </c>
      <c r="F76">
        <v>861158</v>
      </c>
      <c r="G76">
        <f t="shared" si="2"/>
        <v>196.26190801768539</v>
      </c>
      <c r="H76" s="2">
        <v>5.2</v>
      </c>
      <c r="I76" s="2">
        <v>5.2</v>
      </c>
      <c r="J76" s="2">
        <v>5.4</v>
      </c>
      <c r="K76" s="2">
        <v>5.6</v>
      </c>
      <c r="L76">
        <f t="shared" si="3"/>
        <v>5.35</v>
      </c>
    </row>
    <row r="77" spans="1:12" x14ac:dyDescent="0.45">
      <c r="A77" t="s">
        <v>155</v>
      </c>
      <c r="B77" t="s">
        <v>156</v>
      </c>
      <c r="C77" t="s">
        <v>6</v>
      </c>
      <c r="D77">
        <v>29730</v>
      </c>
      <c r="E77">
        <v>105.4</v>
      </c>
      <c r="F77">
        <v>2103778</v>
      </c>
      <c r="G77">
        <f t="shared" si="2"/>
        <v>19959.943074003793</v>
      </c>
      <c r="H77" s="2">
        <v>5.5</v>
      </c>
      <c r="I77" s="2">
        <v>5.6</v>
      </c>
      <c r="J77" s="2">
        <v>5.8</v>
      </c>
      <c r="K77" s="2">
        <v>5.9</v>
      </c>
      <c r="L77">
        <f t="shared" si="3"/>
        <v>5.6999999999999993</v>
      </c>
    </row>
    <row r="78" spans="1:12" x14ac:dyDescent="0.45">
      <c r="A78" t="s">
        <v>157</v>
      </c>
      <c r="B78" t="s">
        <v>158</v>
      </c>
      <c r="C78" t="s">
        <v>6</v>
      </c>
      <c r="D78">
        <v>22340</v>
      </c>
      <c r="E78">
        <v>6277.57</v>
      </c>
      <c r="F78">
        <v>1260964</v>
      </c>
      <c r="G78">
        <f t="shared" si="2"/>
        <v>200.86817032705332</v>
      </c>
      <c r="H78" s="2">
        <v>7.5</v>
      </c>
      <c r="I78" s="2">
        <v>7.7</v>
      </c>
      <c r="J78" s="2">
        <v>7.8</v>
      </c>
      <c r="K78" s="2">
        <v>8.1</v>
      </c>
      <c r="L78">
        <f t="shared" si="3"/>
        <v>7.7750000000000004</v>
      </c>
    </row>
    <row r="79" spans="1:12" x14ac:dyDescent="0.45">
      <c r="A79" t="s">
        <v>159</v>
      </c>
      <c r="B79" t="s">
        <v>160</v>
      </c>
      <c r="C79" t="s">
        <v>6</v>
      </c>
      <c r="D79">
        <v>24640</v>
      </c>
      <c r="E79">
        <v>5915.29</v>
      </c>
      <c r="F79">
        <v>1468108</v>
      </c>
      <c r="G79">
        <f t="shared" si="2"/>
        <v>248.18867714008951</v>
      </c>
      <c r="H79" s="2">
        <v>6.5</v>
      </c>
      <c r="I79" s="2">
        <v>6.6</v>
      </c>
      <c r="J79" s="2">
        <v>6.7</v>
      </c>
      <c r="K79" s="2">
        <v>6.9</v>
      </c>
      <c r="L79">
        <f t="shared" si="3"/>
        <v>6.6750000000000007</v>
      </c>
    </row>
    <row r="80" spans="1:12" x14ac:dyDescent="0.45">
      <c r="A80" t="s">
        <v>161</v>
      </c>
      <c r="B80" t="s">
        <v>162</v>
      </c>
      <c r="C80" t="s">
        <v>6</v>
      </c>
      <c r="D80">
        <v>28130</v>
      </c>
      <c r="E80">
        <v>2284.4299999999998</v>
      </c>
      <c r="F80">
        <v>1485086</v>
      </c>
      <c r="G80">
        <f t="shared" si="2"/>
        <v>650.0903945404325</v>
      </c>
      <c r="H80" s="2">
        <v>6.2</v>
      </c>
      <c r="I80" s="2">
        <v>6.3</v>
      </c>
      <c r="J80" s="2">
        <v>6.5</v>
      </c>
      <c r="K80" s="2">
        <v>6.7</v>
      </c>
      <c r="L80">
        <f t="shared" si="3"/>
        <v>6.4249999999999998</v>
      </c>
    </row>
    <row r="81" spans="1:12" x14ac:dyDescent="0.45">
      <c r="A81" t="s">
        <v>163</v>
      </c>
      <c r="B81" t="s">
        <v>164</v>
      </c>
      <c r="C81" t="s">
        <v>6</v>
      </c>
      <c r="D81">
        <v>22220</v>
      </c>
      <c r="E81">
        <v>5999.35</v>
      </c>
      <c r="F81">
        <v>375229</v>
      </c>
      <c r="G81">
        <f t="shared" si="2"/>
        <v>62.544942368756608</v>
      </c>
      <c r="H81" s="2">
        <v>5.0999999999999996</v>
      </c>
      <c r="I81" s="2">
        <v>5.2</v>
      </c>
      <c r="J81" s="2">
        <v>5.3</v>
      </c>
      <c r="K81" s="2">
        <v>5.5</v>
      </c>
      <c r="L81">
        <f t="shared" si="3"/>
        <v>5.2750000000000004</v>
      </c>
    </row>
    <row r="82" spans="1:12" x14ac:dyDescent="0.45">
      <c r="A82" t="s">
        <v>165</v>
      </c>
      <c r="B82" t="s">
        <v>166</v>
      </c>
      <c r="C82" t="s">
        <v>6</v>
      </c>
      <c r="D82">
        <v>21560</v>
      </c>
      <c r="E82">
        <v>6170.12</v>
      </c>
      <c r="F82">
        <v>565413</v>
      </c>
      <c r="G82">
        <f t="shared" si="2"/>
        <v>91.637277719071918</v>
      </c>
      <c r="H82" s="2">
        <v>8.4</v>
      </c>
      <c r="I82" s="2">
        <v>8.6</v>
      </c>
      <c r="J82" s="2">
        <v>8.6999999999999993</v>
      </c>
      <c r="K82" s="2">
        <v>8.8000000000000007</v>
      </c>
      <c r="L82">
        <f t="shared" si="3"/>
        <v>8.625</v>
      </c>
    </row>
    <row r="83" spans="1:12" x14ac:dyDescent="0.45">
      <c r="A83" t="s">
        <v>167</v>
      </c>
      <c r="B83" t="s">
        <v>168</v>
      </c>
      <c r="C83" t="s">
        <v>6</v>
      </c>
      <c r="D83">
        <v>21730</v>
      </c>
      <c r="E83">
        <v>5757.89</v>
      </c>
      <c r="F83">
        <v>397352</v>
      </c>
      <c r="G83">
        <f t="shared" si="2"/>
        <v>69.010001927789517</v>
      </c>
      <c r="H83" s="2">
        <v>7.7</v>
      </c>
      <c r="I83" s="2">
        <v>7.7</v>
      </c>
      <c r="J83" s="2">
        <v>7.9</v>
      </c>
      <c r="K83" s="2">
        <v>8.1</v>
      </c>
      <c r="L83">
        <f t="shared" si="3"/>
        <v>7.85</v>
      </c>
    </row>
    <row r="84" spans="1:12" x14ac:dyDescent="0.45">
      <c r="A84" t="s">
        <v>169</v>
      </c>
      <c r="B84" t="s">
        <v>170</v>
      </c>
      <c r="C84" t="s">
        <v>6</v>
      </c>
      <c r="D84">
        <v>21520</v>
      </c>
      <c r="E84">
        <v>3718.28</v>
      </c>
      <c r="F84">
        <v>265817</v>
      </c>
      <c r="G84">
        <f t="shared" si="2"/>
        <v>71.489236959024055</v>
      </c>
      <c r="H84" s="2">
        <v>8.4</v>
      </c>
      <c r="I84" s="2">
        <v>8.5</v>
      </c>
      <c r="J84" s="2">
        <v>8.5</v>
      </c>
      <c r="K84" s="2">
        <v>8.6999999999999993</v>
      </c>
      <c r="L84">
        <f t="shared" si="3"/>
        <v>8.5249999999999986</v>
      </c>
    </row>
    <row r="85" spans="1:12" x14ac:dyDescent="0.45">
      <c r="A85" t="s">
        <v>171</v>
      </c>
      <c r="B85" t="s">
        <v>172</v>
      </c>
      <c r="C85" t="s">
        <v>6</v>
      </c>
      <c r="D85">
        <v>23120</v>
      </c>
      <c r="E85">
        <v>5972.54</v>
      </c>
      <c r="F85">
        <v>1119307</v>
      </c>
      <c r="G85">
        <f t="shared" si="2"/>
        <v>187.40887461615995</v>
      </c>
      <c r="H85" s="2">
        <v>7.1</v>
      </c>
      <c r="I85" s="2">
        <v>7.2</v>
      </c>
      <c r="J85" s="2">
        <v>7.4</v>
      </c>
      <c r="K85" s="2">
        <v>7.4</v>
      </c>
      <c r="L85">
        <f t="shared" si="3"/>
        <v>7.2750000000000004</v>
      </c>
    </row>
    <row r="86" spans="1:12" x14ac:dyDescent="0.45">
      <c r="A86" t="s">
        <v>173</v>
      </c>
      <c r="B86" t="s">
        <v>174</v>
      </c>
      <c r="C86" t="s">
        <v>6</v>
      </c>
      <c r="D86">
        <v>21370</v>
      </c>
      <c r="E86">
        <v>3567.26</v>
      </c>
      <c r="F86">
        <v>572056</v>
      </c>
      <c r="G86">
        <f t="shared" si="2"/>
        <v>160.36285552496872</v>
      </c>
      <c r="H86" s="2">
        <v>9.4</v>
      </c>
      <c r="I86" s="2">
        <v>9.5</v>
      </c>
      <c r="J86" s="2">
        <v>9.8000000000000007</v>
      </c>
      <c r="K86" s="2">
        <v>9.9</v>
      </c>
      <c r="L86">
        <f t="shared" si="3"/>
        <v>9.65</v>
      </c>
    </row>
    <row r="87" spans="1:12" x14ac:dyDescent="0.45">
      <c r="A87" t="s">
        <v>175</v>
      </c>
      <c r="B87" t="s">
        <v>176</v>
      </c>
      <c r="C87" t="s">
        <v>6</v>
      </c>
      <c r="D87">
        <v>22790</v>
      </c>
      <c r="E87">
        <v>6719.59</v>
      </c>
      <c r="F87">
        <v>713609</v>
      </c>
      <c r="G87">
        <f t="shared" si="2"/>
        <v>106.19829483644091</v>
      </c>
      <c r="H87" s="2">
        <v>5</v>
      </c>
      <c r="I87" s="2">
        <v>5</v>
      </c>
      <c r="J87" s="2">
        <v>5.2</v>
      </c>
      <c r="K87" s="2">
        <v>5.3</v>
      </c>
      <c r="L87">
        <f t="shared" si="3"/>
        <v>5.125</v>
      </c>
    </row>
    <row r="88" spans="1:12" x14ac:dyDescent="0.45">
      <c r="A88" t="s">
        <v>177</v>
      </c>
      <c r="B88" t="s">
        <v>178</v>
      </c>
      <c r="C88" t="s">
        <v>6</v>
      </c>
      <c r="D88">
        <v>22220</v>
      </c>
      <c r="E88">
        <v>6990.44</v>
      </c>
      <c r="F88">
        <v>438897</v>
      </c>
      <c r="G88">
        <f t="shared" si="2"/>
        <v>62.78531823461757</v>
      </c>
      <c r="H88" s="2">
        <v>5.8</v>
      </c>
      <c r="I88" s="2">
        <v>5.9</v>
      </c>
      <c r="J88" s="2">
        <v>6.1</v>
      </c>
      <c r="K88" s="2">
        <v>6.2</v>
      </c>
      <c r="L88">
        <f t="shared" si="3"/>
        <v>5.9999999999999991</v>
      </c>
    </row>
    <row r="89" spans="1:12" x14ac:dyDescent="0.45">
      <c r="A89" t="s">
        <v>179</v>
      </c>
      <c r="B89" t="s">
        <v>180</v>
      </c>
      <c r="C89" t="s">
        <v>6</v>
      </c>
      <c r="D89">
        <v>22140</v>
      </c>
      <c r="E89">
        <v>5520.13</v>
      </c>
      <c r="F89">
        <v>373167</v>
      </c>
      <c r="G89">
        <f t="shared" si="2"/>
        <v>67.601125335816363</v>
      </c>
      <c r="H89" s="2">
        <v>6.2</v>
      </c>
      <c r="I89" s="2">
        <v>6.3</v>
      </c>
      <c r="J89" s="2">
        <v>6.5</v>
      </c>
      <c r="K89" s="2">
        <v>6.7</v>
      </c>
      <c r="L89">
        <f t="shared" si="3"/>
        <v>6.4249999999999998</v>
      </c>
    </row>
    <row r="90" spans="1:12" x14ac:dyDescent="0.45">
      <c r="A90" t="s">
        <v>181</v>
      </c>
      <c r="B90" t="s">
        <v>182</v>
      </c>
      <c r="C90" t="s">
        <v>6</v>
      </c>
      <c r="D90">
        <v>21550</v>
      </c>
      <c r="E90">
        <v>5873.78</v>
      </c>
      <c r="F90">
        <v>357248</v>
      </c>
      <c r="G90">
        <f t="shared" si="2"/>
        <v>60.820800234261412</v>
      </c>
      <c r="H90" s="2">
        <v>7.4</v>
      </c>
      <c r="I90" s="2">
        <v>7.7</v>
      </c>
      <c r="J90" s="2">
        <v>7.9</v>
      </c>
      <c r="K90" s="2">
        <v>7.9</v>
      </c>
      <c r="L90">
        <f t="shared" si="3"/>
        <v>7.7249999999999996</v>
      </c>
    </row>
    <row r="91" spans="1:12" x14ac:dyDescent="0.45">
      <c r="A91" t="s">
        <v>183</v>
      </c>
      <c r="B91" t="s">
        <v>184</v>
      </c>
      <c r="C91" t="s">
        <v>6</v>
      </c>
      <c r="D91">
        <v>21940</v>
      </c>
      <c r="E91">
        <v>7427.35</v>
      </c>
      <c r="F91">
        <v>332267</v>
      </c>
      <c r="G91">
        <f t="shared" si="2"/>
        <v>44.735605565915165</v>
      </c>
      <c r="H91" s="2">
        <v>6.7</v>
      </c>
      <c r="I91" s="2">
        <v>6.9</v>
      </c>
      <c r="J91" s="2">
        <v>7</v>
      </c>
      <c r="K91" s="2">
        <v>7.2</v>
      </c>
      <c r="L91">
        <f t="shared" si="3"/>
        <v>6.95</v>
      </c>
    </row>
    <row r="92" spans="1:12" x14ac:dyDescent="0.45">
      <c r="A92" t="s">
        <v>185</v>
      </c>
      <c r="B92" t="s">
        <v>186</v>
      </c>
      <c r="C92" t="s">
        <v>6</v>
      </c>
      <c r="D92">
        <v>22920</v>
      </c>
      <c r="E92">
        <v>609.44000000000005</v>
      </c>
      <c r="F92">
        <v>140255</v>
      </c>
      <c r="G92">
        <f t="shared" si="2"/>
        <v>230.13750328170121</v>
      </c>
      <c r="H92" s="2">
        <v>8.1</v>
      </c>
      <c r="I92" s="2">
        <v>8.3000000000000007</v>
      </c>
      <c r="J92" s="2">
        <v>8.5</v>
      </c>
      <c r="K92" s="2">
        <v>8.6</v>
      </c>
      <c r="L92">
        <f t="shared" si="3"/>
        <v>8.375</v>
      </c>
    </row>
    <row r="93" spans="1:12" x14ac:dyDescent="0.45">
      <c r="A93" t="s">
        <v>187</v>
      </c>
      <c r="B93" t="s">
        <v>188</v>
      </c>
      <c r="C93" t="s">
        <v>6</v>
      </c>
      <c r="D93">
        <v>25040</v>
      </c>
      <c r="E93">
        <v>1804.4</v>
      </c>
      <c r="F93">
        <v>1338485</v>
      </c>
      <c r="G93">
        <f t="shared" si="2"/>
        <v>741.78951452006208</v>
      </c>
      <c r="H93" s="2">
        <v>6.2</v>
      </c>
      <c r="I93" s="2">
        <v>6.3</v>
      </c>
      <c r="J93" s="2">
        <v>6.4</v>
      </c>
      <c r="K93" s="2">
        <v>6.6</v>
      </c>
      <c r="L93">
        <f t="shared" si="3"/>
        <v>6.375</v>
      </c>
    </row>
    <row r="94" spans="1:12" x14ac:dyDescent="0.45">
      <c r="A94" t="s">
        <v>189</v>
      </c>
      <c r="B94" t="s">
        <v>190</v>
      </c>
      <c r="C94" t="s">
        <v>6</v>
      </c>
      <c r="D94">
        <v>29720</v>
      </c>
      <c r="E94">
        <v>175.61</v>
      </c>
      <c r="F94">
        <v>1654712</v>
      </c>
      <c r="G94">
        <f t="shared" si="2"/>
        <v>9422.6524685382374</v>
      </c>
      <c r="H94" s="2">
        <v>5.6</v>
      </c>
      <c r="I94" s="2">
        <v>5.8</v>
      </c>
      <c r="J94" s="2">
        <v>5.9</v>
      </c>
      <c r="K94" s="2">
        <v>6.1</v>
      </c>
      <c r="L94">
        <f t="shared" si="3"/>
        <v>5.85</v>
      </c>
    </row>
    <row r="95" spans="1:12" x14ac:dyDescent="0.45">
      <c r="A95" t="s">
        <v>191</v>
      </c>
      <c r="B95" t="s">
        <v>192</v>
      </c>
      <c r="C95" t="s">
        <v>6</v>
      </c>
      <c r="D95">
        <v>19020</v>
      </c>
      <c r="E95">
        <v>236.2</v>
      </c>
      <c r="F95">
        <v>1704316</v>
      </c>
      <c r="G95">
        <f t="shared" si="2"/>
        <v>7215.5630821337854</v>
      </c>
      <c r="H95" s="2">
        <v>9.9</v>
      </c>
      <c r="I95" s="2">
        <v>10.1</v>
      </c>
      <c r="J95" s="2">
        <v>10.4</v>
      </c>
      <c r="K95" s="2">
        <v>10.6</v>
      </c>
      <c r="L95">
        <f t="shared" si="3"/>
        <v>10.25</v>
      </c>
    </row>
    <row r="96" spans="1:12" x14ac:dyDescent="0.45">
      <c r="A96" t="s">
        <v>193</v>
      </c>
      <c r="B96" t="s">
        <v>194</v>
      </c>
      <c r="C96" t="s">
        <v>6</v>
      </c>
      <c r="D96">
        <v>24270</v>
      </c>
      <c r="E96">
        <v>245.03</v>
      </c>
      <c r="F96">
        <v>1426929</v>
      </c>
      <c r="G96">
        <f t="shared" si="2"/>
        <v>5823.4869199689838</v>
      </c>
      <c r="H96" s="2">
        <v>6.9</v>
      </c>
      <c r="I96" s="2">
        <v>7.1</v>
      </c>
      <c r="J96" s="2">
        <v>7.2</v>
      </c>
      <c r="K96" s="2">
        <v>7.4</v>
      </c>
      <c r="L96">
        <f t="shared" si="3"/>
        <v>7.15</v>
      </c>
    </row>
    <row r="97" spans="1:12" x14ac:dyDescent="0.45">
      <c r="A97" t="s">
        <v>195</v>
      </c>
      <c r="B97" t="s">
        <v>196</v>
      </c>
      <c r="C97" t="s">
        <v>6</v>
      </c>
      <c r="D97">
        <v>23290</v>
      </c>
      <c r="E97">
        <v>1245.9100000000001</v>
      </c>
      <c r="F97">
        <v>1281653</v>
      </c>
      <c r="G97">
        <f t="shared" si="2"/>
        <v>1028.6882680129384</v>
      </c>
      <c r="H97" s="2">
        <v>7.7</v>
      </c>
      <c r="I97" s="2">
        <v>7.9</v>
      </c>
      <c r="J97" s="2">
        <v>8.1</v>
      </c>
      <c r="K97" s="2">
        <v>8.3000000000000007</v>
      </c>
      <c r="L97">
        <f t="shared" si="3"/>
        <v>8</v>
      </c>
    </row>
  </sheetData>
  <autoFilter ref="A1:D1" xr:uid="{27D7AF03-E27B-4776-A136-1CB2EB6895F2}">
    <sortState xmlns:xlrd2="http://schemas.microsoft.com/office/spreadsheetml/2017/richdata2" ref="A2:D9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Arsene GOUBGOU</dc:creator>
  <cp:lastModifiedBy>Arsene GOUBGOU</cp:lastModifiedBy>
  <dcterms:created xsi:type="dcterms:W3CDTF">2026-03-08T19:12:33Z</dcterms:created>
  <dcterms:modified xsi:type="dcterms:W3CDTF">2026-03-09T09:02:53Z</dcterms:modified>
</cp:coreProperties>
</file>